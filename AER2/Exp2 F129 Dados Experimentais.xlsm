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enri\OneDrive\Documentos\Henrique\UNICAMP\Matérias\1º Semestre\F129\AER2\Atividade em grupo\"/>
    </mc:Choice>
  </mc:AlternateContent>
  <xr:revisionPtr revIDLastSave="0" documentId="13_ncr:1_{58FB225E-70F0-4EC2-8BE3-2A9C7B1758D0}" xr6:coauthVersionLast="47" xr6:coauthVersionMax="47" xr10:uidLastSave="{00000000-0000-0000-0000-000000000000}"/>
  <bookViews>
    <workbookView xWindow="-110" yWindow="-110" windowWidth="19420" windowHeight="10300" xr2:uid="{B1294E5B-1D8C-4963-9B91-3B2E215B985C}"/>
  </bookViews>
  <sheets>
    <sheet name="Gude" sheetId="1" r:id="rId1"/>
    <sheet name="Neodíme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1" l="1"/>
  <c r="J10" i="2"/>
  <c r="I10" i="1"/>
  <c r="G10" i="1"/>
  <c r="I10" i="2"/>
  <c r="G10" i="2"/>
  <c r="F10" i="2"/>
  <c r="E10" i="2"/>
  <c r="D10" i="2"/>
  <c r="C10" i="2"/>
  <c r="B10" i="2"/>
  <c r="F10" i="1"/>
  <c r="E10" i="1"/>
  <c r="D10" i="1"/>
  <c r="C10" i="1"/>
  <c r="B10" i="1"/>
</calcChain>
</file>

<file path=xl/sharedStrings.xml><?xml version="1.0" encoding="utf-8"?>
<sst xmlns="http://schemas.openxmlformats.org/spreadsheetml/2006/main" count="19" uniqueCount="13">
  <si>
    <t>Altura (cm) ---&gt;</t>
  </si>
  <si>
    <t xml:space="preserve">areia 3,5 cm </t>
  </si>
  <si>
    <t>Gude</t>
  </si>
  <si>
    <t xml:space="preserve"> </t>
  </si>
  <si>
    <t>Neodímeo</t>
  </si>
  <si>
    <t>espessura pano 1 cm</t>
  </si>
  <si>
    <t>Diâmetro da cratera (mm)</t>
  </si>
  <si>
    <t>médias</t>
  </si>
  <si>
    <t>massa 5,4g</t>
  </si>
  <si>
    <t>massa 16,4</t>
  </si>
  <si>
    <t>diâmetro gude 15,9 mm</t>
  </si>
  <si>
    <t>diâmetro neodímeo 15,9 mm</t>
  </si>
  <si>
    <t>salvar como habilitada para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</si>
</sst>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Bola</a:t>
            </a:r>
            <a:r>
              <a:rPr lang="pt-BR" baseline="0"/>
              <a:t> de Gude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yVal>
            <c:numRef>
              <c:f>Gude!$B$10:$I$10</c:f>
              <c:numCache>
                <c:formatCode>General</c:formatCode>
                <c:ptCount val="8"/>
                <c:pt idx="0">
                  <c:v>34.070000000000007</c:v>
                </c:pt>
                <c:pt idx="1">
                  <c:v>38.269999999999996</c:v>
                </c:pt>
                <c:pt idx="2">
                  <c:v>42.86</c:v>
                </c:pt>
                <c:pt idx="3">
                  <c:v>47.45</c:v>
                </c:pt>
                <c:pt idx="4">
                  <c:v>46.879999999999995</c:v>
                </c:pt>
                <c:pt idx="5">
                  <c:v>48.96</c:v>
                </c:pt>
                <c:pt idx="7">
                  <c:v>50.31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A-421B-B11B-C43CB59C3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36576"/>
        <c:axId val="319233664"/>
      </c:scatterChart>
      <c:valAx>
        <c:axId val="31923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9233664"/>
        <c:crosses val="autoZero"/>
        <c:crossBetween val="midCat"/>
      </c:valAx>
      <c:valAx>
        <c:axId val="31923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9236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Bola</a:t>
            </a:r>
            <a:r>
              <a:rPr lang="pt-BR" baseline="0"/>
              <a:t> de Neodímeo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yVal>
            <c:numRef>
              <c:f>Neodímeo!$B$10:$J$10</c:f>
              <c:numCache>
                <c:formatCode>General</c:formatCode>
                <c:ptCount val="9"/>
                <c:pt idx="0">
                  <c:v>36.9</c:v>
                </c:pt>
                <c:pt idx="1">
                  <c:v>45.129999999999995</c:v>
                </c:pt>
                <c:pt idx="2">
                  <c:v>50.739999999999995</c:v>
                </c:pt>
                <c:pt idx="3">
                  <c:v>53.13000000000001</c:v>
                </c:pt>
                <c:pt idx="4">
                  <c:v>57.8</c:v>
                </c:pt>
                <c:pt idx="5">
                  <c:v>60.220000000000006</c:v>
                </c:pt>
                <c:pt idx="7">
                  <c:v>62.370000000000005</c:v>
                </c:pt>
                <c:pt idx="8">
                  <c:v>63.362499999999997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50-4BF1-87C0-121A6267D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632864"/>
        <c:axId val="2115634112"/>
      </c:scatterChart>
      <c:valAx>
        <c:axId val="211563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5634112"/>
        <c:crosses val="autoZero"/>
        <c:crossBetween val="midCat"/>
      </c:valAx>
      <c:valAx>
        <c:axId val="211563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563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</xdr:row>
      <xdr:rowOff>50800</xdr:rowOff>
    </xdr:from>
    <xdr:to>
      <xdr:col>0</xdr:col>
      <xdr:colOff>1473200</xdr:colOff>
      <xdr:row>4</xdr:row>
      <xdr:rowOff>165100</xdr:rowOff>
    </xdr:to>
    <xdr:sp macro="[0]!OrdenaColunaB" textlink="">
      <xdr:nvSpPr>
        <xdr:cNvPr id="2" name="Retângulo 1">
          <a:extLst>
            <a:ext uri="{FF2B5EF4-FFF2-40B4-BE49-F238E27FC236}">
              <a16:creationId xmlns:a16="http://schemas.microsoft.com/office/drawing/2014/main" id="{96C4D5D5-10C3-4E13-A292-65BE23404900}"/>
            </a:ext>
          </a:extLst>
        </xdr:cNvPr>
        <xdr:cNvSpPr/>
      </xdr:nvSpPr>
      <xdr:spPr>
        <a:xfrm>
          <a:off x="50800" y="419100"/>
          <a:ext cx="1422400" cy="482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Ordenar</a:t>
          </a:r>
        </a:p>
      </xdr:txBody>
    </xdr:sp>
    <xdr:clientData/>
  </xdr:twoCellAnchor>
  <xdr:twoCellAnchor>
    <xdr:from>
      <xdr:col>2</xdr:col>
      <xdr:colOff>9525</xdr:colOff>
      <xdr:row>13</xdr:row>
      <xdr:rowOff>12700</xdr:rowOff>
    </xdr:from>
    <xdr:to>
      <xdr:col>9</xdr:col>
      <xdr:colOff>314325</xdr:colOff>
      <xdr:row>27</xdr:row>
      <xdr:rowOff>177800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2BC6451-E482-45AA-ADF7-86449424E8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25400</xdr:rowOff>
    </xdr:from>
    <xdr:to>
      <xdr:col>0</xdr:col>
      <xdr:colOff>1606550</xdr:colOff>
      <xdr:row>4</xdr:row>
      <xdr:rowOff>139700</xdr:rowOff>
    </xdr:to>
    <xdr:sp macro="[0]!OrdenaColunaB" textlink="">
      <xdr:nvSpPr>
        <xdr:cNvPr id="2" name="Retângulo 1">
          <a:extLst>
            <a:ext uri="{FF2B5EF4-FFF2-40B4-BE49-F238E27FC236}">
              <a16:creationId xmlns:a16="http://schemas.microsoft.com/office/drawing/2014/main" id="{9CC3B6E9-9960-4E7D-A343-9575091FCE53}"/>
            </a:ext>
          </a:extLst>
        </xdr:cNvPr>
        <xdr:cNvSpPr/>
      </xdr:nvSpPr>
      <xdr:spPr>
        <a:xfrm>
          <a:off x="12700" y="393700"/>
          <a:ext cx="1593850" cy="482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Ordenar</a:t>
          </a:r>
        </a:p>
      </xdr:txBody>
    </xdr:sp>
    <xdr:clientData/>
  </xdr:twoCellAnchor>
  <xdr:twoCellAnchor>
    <xdr:from>
      <xdr:col>1</xdr:col>
      <xdr:colOff>352425</xdr:colOff>
      <xdr:row>10</xdr:row>
      <xdr:rowOff>107950</xdr:rowOff>
    </xdr:from>
    <xdr:to>
      <xdr:col>9</xdr:col>
      <xdr:colOff>47625</xdr:colOff>
      <xdr:row>25</xdr:row>
      <xdr:rowOff>88900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49B4FA-7C05-4027-9353-C1C5513DA4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2513F-DFDB-4BEC-8AC6-E83BBAFAA21E}">
  <sheetPr codeName="Planilha1"/>
  <dimension ref="A1:Q15"/>
  <sheetViews>
    <sheetView tabSelected="1" zoomScaleNormal="100" workbookViewId="0">
      <selection activeCell="J11" sqref="J11"/>
    </sheetView>
  </sheetViews>
  <sheetFormatPr defaultRowHeight="14.5" x14ac:dyDescent="0.35"/>
  <cols>
    <col min="1" max="1" width="23.08984375" customWidth="1"/>
    <col min="6" max="8" width="8.7265625" customWidth="1"/>
  </cols>
  <sheetData>
    <row r="1" spans="1:17" x14ac:dyDescent="0.35">
      <c r="A1" s="1" t="s">
        <v>0</v>
      </c>
      <c r="B1" s="3">
        <v>25</v>
      </c>
      <c r="C1" s="3">
        <v>50</v>
      </c>
      <c r="D1" s="3">
        <v>75</v>
      </c>
      <c r="E1" s="3">
        <v>100</v>
      </c>
      <c r="F1" s="3">
        <v>125</v>
      </c>
      <c r="G1" s="3">
        <v>150</v>
      </c>
      <c r="H1" s="3"/>
      <c r="I1" s="3">
        <v>200</v>
      </c>
      <c r="J1" s="3">
        <v>250</v>
      </c>
      <c r="K1" s="3">
        <v>300</v>
      </c>
      <c r="L1" s="3"/>
      <c r="M1" s="3"/>
      <c r="N1" s="3"/>
    </row>
    <row r="2" spans="1:17" x14ac:dyDescent="0.35">
      <c r="A2" t="s">
        <v>6</v>
      </c>
      <c r="B2">
        <v>32.700000000000003</v>
      </c>
      <c r="C2">
        <v>36.35</v>
      </c>
      <c r="D2">
        <v>40</v>
      </c>
      <c r="E2">
        <v>49.05</v>
      </c>
      <c r="F2">
        <v>41.4</v>
      </c>
      <c r="G2" s="2">
        <v>49.15</v>
      </c>
      <c r="H2" s="2"/>
      <c r="I2">
        <v>54.4</v>
      </c>
      <c r="J2">
        <v>52.95</v>
      </c>
    </row>
    <row r="3" spans="1:17" x14ac:dyDescent="0.35">
      <c r="B3">
        <v>35.75</v>
      </c>
      <c r="C3">
        <v>38.6</v>
      </c>
      <c r="D3">
        <v>41.2</v>
      </c>
      <c r="E3">
        <v>49.7</v>
      </c>
      <c r="F3">
        <v>48.8</v>
      </c>
      <c r="G3" s="2">
        <v>52.25</v>
      </c>
      <c r="H3" s="2"/>
      <c r="I3">
        <v>50.6</v>
      </c>
      <c r="J3">
        <v>48</v>
      </c>
    </row>
    <row r="4" spans="1:17" x14ac:dyDescent="0.35">
      <c r="B4">
        <v>32.799999999999997</v>
      </c>
      <c r="C4">
        <v>38</v>
      </c>
      <c r="D4">
        <v>45</v>
      </c>
      <c r="E4">
        <v>47.2</v>
      </c>
      <c r="F4">
        <v>48.1</v>
      </c>
      <c r="G4">
        <v>49.4</v>
      </c>
      <c r="I4">
        <v>48.55</v>
      </c>
      <c r="J4">
        <v>49.95</v>
      </c>
      <c r="O4" t="s">
        <v>12</v>
      </c>
    </row>
    <row r="5" spans="1:17" x14ac:dyDescent="0.35">
      <c r="B5">
        <v>34.4</v>
      </c>
      <c r="C5">
        <v>39.4</v>
      </c>
      <c r="D5">
        <v>45.3</v>
      </c>
      <c r="E5">
        <v>47</v>
      </c>
      <c r="F5">
        <v>47.1</v>
      </c>
      <c r="G5">
        <v>47</v>
      </c>
      <c r="I5">
        <v>47</v>
      </c>
      <c r="J5">
        <v>45.25</v>
      </c>
    </row>
    <row r="6" spans="1:17" x14ac:dyDescent="0.35">
      <c r="A6" t="s">
        <v>1</v>
      </c>
      <c r="B6">
        <v>34.700000000000003</v>
      </c>
      <c r="C6">
        <v>39</v>
      </c>
      <c r="D6">
        <v>42.8</v>
      </c>
      <c r="E6">
        <v>44.3</v>
      </c>
      <c r="F6">
        <v>49</v>
      </c>
      <c r="G6">
        <v>47</v>
      </c>
      <c r="I6">
        <v>51</v>
      </c>
      <c r="J6">
        <v>49.6</v>
      </c>
    </row>
    <row r="7" spans="1:17" x14ac:dyDescent="0.35">
      <c r="A7" t="s">
        <v>5</v>
      </c>
      <c r="Q7" t="s">
        <v>2</v>
      </c>
    </row>
    <row r="8" spans="1:17" x14ac:dyDescent="0.35">
      <c r="A8" t="s">
        <v>10</v>
      </c>
    </row>
    <row r="9" spans="1:17" x14ac:dyDescent="0.35">
      <c r="B9" s="3"/>
      <c r="C9" s="3"/>
      <c r="D9" s="3"/>
      <c r="E9" s="3"/>
      <c r="F9" s="3"/>
      <c r="G9" s="3"/>
      <c r="H9" s="3"/>
      <c r="I9" s="3"/>
    </row>
    <row r="10" spans="1:17" x14ac:dyDescent="0.35">
      <c r="A10" t="s">
        <v>7</v>
      </c>
      <c r="B10">
        <f>AVERAGE(B2:B6)</f>
        <v>34.070000000000007</v>
      </c>
      <c r="C10">
        <f>AVERAGE(C2:C6)</f>
        <v>38.269999999999996</v>
      </c>
      <c r="D10">
        <f>AVERAGE(D2:D6)</f>
        <v>42.86</v>
      </c>
      <c r="E10">
        <f>AVERAGE(E2:E6)</f>
        <v>47.45</v>
      </c>
      <c r="F10">
        <f>AVERAGE(F2:F6)</f>
        <v>46.879999999999995</v>
      </c>
      <c r="G10">
        <f>AVERAGE(G2:G6)</f>
        <v>48.96</v>
      </c>
      <c r="I10">
        <f>AVERAGE(I2:I6)</f>
        <v>50.31</v>
      </c>
      <c r="J10">
        <f>AVERAGE(J2:J6)</f>
        <v>49.15</v>
      </c>
    </row>
    <row r="14" spans="1:17" x14ac:dyDescent="0.35">
      <c r="A14" t="s">
        <v>8</v>
      </c>
    </row>
    <row r="15" spans="1:17" x14ac:dyDescent="0.35">
      <c r="D15" t="s">
        <v>3</v>
      </c>
    </row>
  </sheetData>
  <sortState xmlns:xlrd2="http://schemas.microsoft.com/office/spreadsheetml/2017/richdata2" ref="K2:K16">
    <sortCondition ref="K9"/>
  </sortState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B1621-BA23-4977-9490-1FCE6F8EC6E0}">
  <sheetPr codeName="Planilha2"/>
  <dimension ref="A1:Q14"/>
  <sheetViews>
    <sheetView workbookViewId="0">
      <selection activeCell="K9" sqref="K9"/>
    </sheetView>
  </sheetViews>
  <sheetFormatPr defaultRowHeight="14.5" x14ac:dyDescent="0.35"/>
  <cols>
    <col min="1" max="1" width="25.36328125" bestFit="1" customWidth="1"/>
    <col min="17" max="17" width="9.7265625" customWidth="1"/>
  </cols>
  <sheetData>
    <row r="1" spans="1:17" x14ac:dyDescent="0.35">
      <c r="A1" s="1" t="s">
        <v>0</v>
      </c>
      <c r="B1" s="3">
        <v>25</v>
      </c>
      <c r="C1" s="3">
        <v>50</v>
      </c>
      <c r="D1" s="3">
        <v>75</v>
      </c>
      <c r="E1" s="3">
        <v>100</v>
      </c>
      <c r="F1" s="3">
        <v>125</v>
      </c>
      <c r="G1" s="3">
        <v>150</v>
      </c>
      <c r="H1" s="3">
        <v>175</v>
      </c>
      <c r="I1" s="3">
        <v>200</v>
      </c>
      <c r="J1" s="3">
        <v>250</v>
      </c>
      <c r="K1" s="3"/>
      <c r="L1" s="3"/>
      <c r="M1" s="3"/>
      <c r="N1" s="3"/>
    </row>
    <row r="2" spans="1:17" x14ac:dyDescent="0.35">
      <c r="A2" t="s">
        <v>6</v>
      </c>
      <c r="B2">
        <v>37.5</v>
      </c>
      <c r="C2">
        <v>43.2</v>
      </c>
      <c r="D2">
        <v>51.45</v>
      </c>
      <c r="E2">
        <v>56.7</v>
      </c>
      <c r="F2">
        <v>60.8</v>
      </c>
      <c r="G2">
        <v>60.7</v>
      </c>
      <c r="I2">
        <v>64.599999999999994</v>
      </c>
      <c r="J2">
        <v>66.5</v>
      </c>
    </row>
    <row r="3" spans="1:17" x14ac:dyDescent="0.35">
      <c r="B3">
        <v>36.5</v>
      </c>
      <c r="C3">
        <v>45</v>
      </c>
      <c r="D3">
        <v>50.9</v>
      </c>
      <c r="E3">
        <v>54.2</v>
      </c>
      <c r="F3">
        <v>59.4</v>
      </c>
      <c r="G3">
        <v>57</v>
      </c>
      <c r="I3">
        <v>60</v>
      </c>
      <c r="J3">
        <v>66.150000000000006</v>
      </c>
    </row>
    <row r="4" spans="1:17" x14ac:dyDescent="0.35">
      <c r="B4">
        <v>36.200000000000003</v>
      </c>
      <c r="C4">
        <v>47.4</v>
      </c>
      <c r="D4">
        <v>51.35</v>
      </c>
      <c r="E4">
        <v>51.2</v>
      </c>
      <c r="F4">
        <v>58.3</v>
      </c>
      <c r="G4">
        <v>61.5</v>
      </c>
      <c r="I4">
        <v>60.15</v>
      </c>
      <c r="J4">
        <v>60.8</v>
      </c>
    </row>
    <row r="5" spans="1:17" x14ac:dyDescent="0.35">
      <c r="B5">
        <v>36.299999999999997</v>
      </c>
      <c r="C5">
        <v>44.35</v>
      </c>
      <c r="D5">
        <v>49.7</v>
      </c>
      <c r="E5">
        <v>52.8</v>
      </c>
      <c r="F5">
        <v>54.6</v>
      </c>
      <c r="G5">
        <v>63.3</v>
      </c>
      <c r="I5">
        <v>64.400000000000006</v>
      </c>
      <c r="J5">
        <v>60</v>
      </c>
    </row>
    <row r="6" spans="1:17" x14ac:dyDescent="0.35">
      <c r="A6" t="s">
        <v>1</v>
      </c>
      <c r="B6">
        <v>38</v>
      </c>
      <c r="C6">
        <v>45.7</v>
      </c>
      <c r="D6">
        <v>50.3</v>
      </c>
      <c r="E6">
        <v>50.75</v>
      </c>
      <c r="F6">
        <v>55.9</v>
      </c>
      <c r="G6">
        <v>58.6</v>
      </c>
      <c r="I6">
        <v>62.7</v>
      </c>
      <c r="J6">
        <v>60.25</v>
      </c>
    </row>
    <row r="7" spans="1:17" x14ac:dyDescent="0.35">
      <c r="A7" t="s">
        <v>5</v>
      </c>
    </row>
    <row r="8" spans="1:17" x14ac:dyDescent="0.35">
      <c r="A8" t="s">
        <v>11</v>
      </c>
      <c r="Q8" t="s">
        <v>4</v>
      </c>
    </row>
    <row r="10" spans="1:17" x14ac:dyDescent="0.35">
      <c r="A10" t="s">
        <v>7</v>
      </c>
      <c r="B10">
        <f>AVERAGE(B2:B6)</f>
        <v>36.9</v>
      </c>
      <c r="C10">
        <f>AVERAGE(C2:C6)</f>
        <v>45.129999999999995</v>
      </c>
      <c r="D10">
        <f>AVERAGE(D2:D6)</f>
        <v>50.739999999999995</v>
      </c>
      <c r="E10">
        <f>AVERAGE(E2:E6)</f>
        <v>53.13000000000001</v>
      </c>
      <c r="F10">
        <f>AVERAGE(F2:F6)</f>
        <v>57.8</v>
      </c>
      <c r="G10">
        <f>AVERAGE(G2:G6)</f>
        <v>60.220000000000006</v>
      </c>
      <c r="I10">
        <f>AVERAGE(I2:I6)</f>
        <v>62.370000000000005</v>
      </c>
      <c r="J10">
        <f>AVERAGE(J2:K5)</f>
        <v>63.362499999999997</v>
      </c>
    </row>
    <row r="12" spans="1:17" x14ac:dyDescent="0.35">
      <c r="A12" t="s">
        <v>3</v>
      </c>
    </row>
    <row r="14" spans="1:17" x14ac:dyDescent="0.35">
      <c r="A14" t="s">
        <v>9</v>
      </c>
    </row>
  </sheetData>
  <sortState xmlns:xlrd2="http://schemas.microsoft.com/office/spreadsheetml/2017/richdata2" ref="K2:K61">
    <sortCondition ref="K9"/>
  </sortState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Gude</vt:lpstr>
      <vt:lpstr>Neodímeo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</dc:creator>
  <cp:lastModifiedBy>henri</cp:lastModifiedBy>
  <dcterms:created xsi:type="dcterms:W3CDTF">2022-05-16T16:26:14Z</dcterms:created>
  <dcterms:modified xsi:type="dcterms:W3CDTF">2022-05-16T20:57:33Z</dcterms:modified>
</cp:coreProperties>
</file>